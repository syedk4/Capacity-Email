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latheef\Documents\Capacity Email 19012026\Capacity Email\"/>
    </mc:Choice>
  </mc:AlternateContent>
  <xr:revisionPtr revIDLastSave="0" documentId="13_ncr:1_{E7810941-5120-45AE-8798-9D4F118B060C}" xr6:coauthVersionLast="47" xr6:coauthVersionMax="47" xr10:uidLastSave="{00000000-0000-0000-0000-000000000000}"/>
  <bookViews>
    <workbookView xWindow="14595" yWindow="-16800" windowWidth="29040" windowHeight="15720" activeTab="2" xr2:uid="{586C474F-ED26-4F75-A63E-11744E75B83D}"/>
  </bookViews>
  <sheets>
    <sheet name="Monthly" sheetId="1" r:id="rId1"/>
    <sheet name="2026" sheetId="5" r:id="rId2"/>
    <sheet name="On Call Schedules" sheetId="6" r:id="rId3"/>
    <sheet name="Email Summary" sheetId="3" r:id="rId4"/>
    <sheet name="Sheet3" sheetId="4" r:id="rId5"/>
    <sheet name="Email Template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3" i="3" l="1" a="1"/>
  <c r="A33" i="3" s="1"/>
  <c r="A32" i="3"/>
  <c r="A31" i="3"/>
  <c r="A29" i="3"/>
  <c r="A30" i="3"/>
  <c r="A28" i="3"/>
  <c r="A26" i="3"/>
  <c r="A25" i="3"/>
  <c r="D15" i="3"/>
  <c r="D16" i="3"/>
  <c r="D17" i="3"/>
  <c r="D18" i="3"/>
  <c r="D19" i="3"/>
  <c r="D20" i="3"/>
  <c r="D14" i="3"/>
  <c r="C14" i="3"/>
  <c r="C15" i="3"/>
  <c r="C16" i="3"/>
  <c r="C17" i="3"/>
  <c r="C18" i="3"/>
  <c r="C19" i="3"/>
  <c r="C20" i="3"/>
  <c r="B14" i="3"/>
  <c r="B15" i="3"/>
  <c r="B16" i="3"/>
  <c r="B17" i="3"/>
  <c r="B18" i="3"/>
  <c r="B19" i="3"/>
  <c r="B20" i="3"/>
  <c r="A14" i="3"/>
  <c r="A15" i="3"/>
  <c r="A16" i="3"/>
  <c r="A17" i="3"/>
  <c r="A18" i="3"/>
  <c r="A19" i="3"/>
  <c r="A20" i="3"/>
  <c r="B13" i="3"/>
  <c r="C13" i="3"/>
  <c r="D13" i="3"/>
  <c r="A13" i="3"/>
  <c r="A7" i="3"/>
  <c r="A11" i="3"/>
  <c r="A12" i="3"/>
  <c r="A9" i="3"/>
  <c r="A6" i="3"/>
  <c r="A3" i="3"/>
  <c r="A2" i="3"/>
  <c r="A1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<sst xmlns="http://schemas.openxmlformats.org/spreadsheetml/2006/main" count="282" uniqueCount="101">
  <si>
    <t>Emp Id</t>
  </si>
  <si>
    <t>Emp Name</t>
  </si>
  <si>
    <t>Planned Leave</t>
  </si>
  <si>
    <t>Optional Holiday</t>
  </si>
  <si>
    <t>BindhuMadhuri Maddela</t>
  </si>
  <si>
    <t>Suganya Chandrasekaran</t>
  </si>
  <si>
    <t>Dhivya Dharmaraj</t>
  </si>
  <si>
    <t>Murugan, Lakshmipathy</t>
  </si>
  <si>
    <t>None</t>
  </si>
  <si>
    <t>Murugan Pavithra</t>
  </si>
  <si>
    <t>Syed Sufdar Hussain</t>
  </si>
  <si>
    <t>Sampanthamoorthy, Sivaguru</t>
  </si>
  <si>
    <t xml:space="preserve">1st &amp; 4th </t>
  </si>
  <si>
    <t>15th(Independence day) &amp;  27th (Vinayaka Chavithi)</t>
  </si>
  <si>
    <t>28th &amp; 29th (tentative)</t>
  </si>
  <si>
    <t>18th(Comp off)</t>
  </si>
  <si>
    <t xml:space="preserve">12th (Comp off), 14th, 28th (Tentative) </t>
  </si>
  <si>
    <t>1st, 18th August</t>
  </si>
  <si>
    <t xml:space="preserve">22 Second off </t>
  </si>
  <si>
    <t>23rd and 29th September</t>
  </si>
  <si>
    <t>5th September Miladunnabi</t>
  </si>
  <si>
    <t>11th &amp; 12th</t>
  </si>
  <si>
    <t xml:space="preserve">4th, 5th </t>
  </si>
  <si>
    <t>8th (Tentative)</t>
  </si>
  <si>
    <t xml:space="preserve">10 to 23 </t>
  </si>
  <si>
    <t>2nd october - Vijaya dasami                     20th October - Diwali</t>
  </si>
  <si>
    <t>1st October - Ayudha pooja</t>
  </si>
  <si>
    <t>Employee Name</t>
  </si>
  <si>
    <t>GCC Holiday</t>
  </si>
  <si>
    <r>
      <t>15</t>
    </r>
    <r>
      <rPr>
        <vertAlign val="superscript"/>
        <sz val="11"/>
        <color theme="1"/>
        <rFont val="Aptos"/>
        <family val="2"/>
      </rPr>
      <t>th</t>
    </r>
    <r>
      <rPr>
        <sz val="11"/>
        <color theme="1"/>
        <rFont val="Aptos"/>
        <family val="2"/>
      </rPr>
      <t xml:space="preserve"> August</t>
    </r>
  </si>
  <si>
    <r>
      <t>14</t>
    </r>
    <r>
      <rPr>
        <vertAlign val="superscript"/>
        <sz val="11"/>
        <color theme="1"/>
        <rFont val="Aptos"/>
        <family val="2"/>
      </rPr>
      <t>th</t>
    </r>
    <r>
      <rPr>
        <sz val="11"/>
        <color theme="1"/>
        <rFont val="Aptos"/>
        <family val="2"/>
      </rPr>
      <t xml:space="preserve"> August</t>
    </r>
  </si>
  <si>
    <t>Murugan, Pavithra</t>
  </si>
  <si>
    <t>Chandrasekaran, Suganya</t>
  </si>
  <si>
    <t>Maddela, Bindhu Maduri</t>
  </si>
  <si>
    <t>Dharmaraj, Dhivya</t>
  </si>
  <si>
    <r>
      <t>18</t>
    </r>
    <r>
      <rPr>
        <vertAlign val="superscript"/>
        <sz val="11"/>
        <color theme="1"/>
        <rFont val="Aptos"/>
        <family val="2"/>
      </rPr>
      <t>th</t>
    </r>
    <r>
      <rPr>
        <sz val="11"/>
        <color theme="1"/>
        <rFont val="Aptos"/>
        <family val="2"/>
      </rPr>
      <t xml:space="preserve"> August</t>
    </r>
  </si>
  <si>
    <t>14th August</t>
  </si>
  <si>
    <t>Public Holiday</t>
  </si>
  <si>
    <t>Holiday</t>
  </si>
  <si>
    <t xml:space="preserve">14th, 17th ,18th </t>
  </si>
  <si>
    <t>20, 21 Nov</t>
  </si>
  <si>
    <t xml:space="preserve">03,19,20,21,24 Nov </t>
  </si>
  <si>
    <t>10th &amp; 11th</t>
  </si>
  <si>
    <t>19th</t>
  </si>
  <si>
    <t xml:space="preserve">22nd to 26th </t>
  </si>
  <si>
    <t xml:space="preserve">24th &amp; 26th </t>
  </si>
  <si>
    <t>Dec 8th to 12th</t>
  </si>
  <si>
    <t>26th Tentative</t>
  </si>
  <si>
    <t>Dec 5th, Dec 8th</t>
  </si>
  <si>
    <t>29,30,31</t>
  </si>
  <si>
    <t>2025 August Planned Leave</t>
  </si>
  <si>
    <t>2025 September Planned Leave</t>
  </si>
  <si>
    <t>2025 October Planned Leave</t>
  </si>
  <si>
    <t>2025 November Planned Leave</t>
  </si>
  <si>
    <t>2025 December Planned Leave</t>
  </si>
  <si>
    <t>Finance Systems</t>
  </si>
  <si>
    <t>1, 15, 26</t>
  </si>
  <si>
    <t>`</t>
  </si>
  <si>
    <t>Opting?</t>
  </si>
  <si>
    <t>No</t>
  </si>
  <si>
    <t>22, 30</t>
  </si>
  <si>
    <t>16, 19</t>
  </si>
  <si>
    <t>Yes</t>
  </si>
  <si>
    <t>14, 16</t>
  </si>
  <si>
    <t>Feb</t>
  </si>
  <si>
    <t>2, 3, 16, 17</t>
  </si>
  <si>
    <t>NA</t>
  </si>
  <si>
    <t>16 to 27</t>
  </si>
  <si>
    <t>19,20,23</t>
  </si>
  <si>
    <t>March</t>
  </si>
  <si>
    <t>Location</t>
  </si>
  <si>
    <t>GCC</t>
  </si>
  <si>
    <t>US</t>
  </si>
  <si>
    <t>Satish KambleOne</t>
  </si>
  <si>
    <t>Satish KambleTwo</t>
  </si>
  <si>
    <t>Satish KambleThree</t>
  </si>
  <si>
    <t>Year</t>
  </si>
  <si>
    <t>Month</t>
  </si>
  <si>
    <t>From Date</t>
  </si>
  <si>
    <t>To date</t>
  </si>
  <si>
    <t>Primary</t>
  </si>
  <si>
    <t>Secondary</t>
  </si>
  <si>
    <t>Dec</t>
  </si>
  <si>
    <t>31st</t>
  </si>
  <si>
    <t>Jan 13th</t>
  </si>
  <si>
    <t>Pavithra</t>
  </si>
  <si>
    <t>Suganya</t>
  </si>
  <si>
    <t>Jan</t>
  </si>
  <si>
    <t>14th</t>
  </si>
  <si>
    <t>27th</t>
  </si>
  <si>
    <t>Lakshmipathy</t>
  </si>
  <si>
    <t>28th</t>
  </si>
  <si>
    <t>Feb 10th</t>
  </si>
  <si>
    <t>Siva Guru</t>
  </si>
  <si>
    <t>11th</t>
  </si>
  <si>
    <t>24th</t>
  </si>
  <si>
    <t>Suresh Mahalingam</t>
  </si>
  <si>
    <t>25th</t>
  </si>
  <si>
    <t>Mar 10th</t>
  </si>
  <si>
    <t>Mar</t>
  </si>
  <si>
    <t>Apr 7th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</si>
</sst>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"/>
      <family val="2"/>
    </font>
    <font>
      <b/>
      <sz val="11"/>
      <color rgb="FF000000"/>
      <name val="Aptos"/>
      <family val="2"/>
    </font>
    <font>
      <sz val="11"/>
      <color rgb="FF000000"/>
      <name val="Aptos"/>
      <family val="2"/>
    </font>
    <font>
      <vertAlign val="superscript"/>
      <sz val="11"/>
      <color theme="1"/>
      <name val="Aptos"/>
      <family val="2"/>
    </font>
    <font>
      <sz val="10"/>
      <color rgb="FF383A42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F7C7AC"/>
        <bgColor rgb="FF000000"/>
      </patternFill>
    </fill>
    <fill>
      <patternFill patternType="solid">
        <fgColor rgb="FF45B0E1"/>
        <bgColor indexed="64"/>
      </patternFill>
    </fill>
    <fill>
      <patternFill patternType="solid">
        <fgColor rgb="FFFFFF00"/>
        <bgColor rgb="FF000000"/>
      </patternFill>
    </fill>
  </fills>
  <borders count="4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vertical="center" wrapText="1"/>
    </xf>
    <xf numFmtId="0" fontId="4" fillId="3" borderId="16" xfId="0" applyFont="1" applyFill="1" applyBorder="1" applyAlignment="1">
      <alignment vertical="center" wrapText="1"/>
    </xf>
    <xf numFmtId="0" fontId="5" fillId="0" borderId="17" xfId="0" applyFont="1" applyBorder="1" applyAlignment="1">
      <alignment vertical="center" wrapText="1"/>
    </xf>
    <xf numFmtId="0" fontId="3" fillId="0" borderId="18" xfId="0" applyFont="1" applyBorder="1" applyAlignment="1">
      <alignment vertical="center" wrapText="1"/>
    </xf>
    <xf numFmtId="0" fontId="3" fillId="0" borderId="18" xfId="0" applyFont="1" applyBorder="1" applyAlignment="1">
      <alignment vertical="center"/>
    </xf>
    <xf numFmtId="0" fontId="7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17" fontId="1" fillId="2" borderId="19" xfId="0" applyNumberFormat="1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42" xfId="0" applyFont="1" applyBorder="1" applyAlignment="1">
      <alignment vertical="center"/>
    </xf>
    <xf numFmtId="0" fontId="2" fillId="0" borderId="43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35" xfId="0" applyFont="1" applyBorder="1" applyAlignment="1">
      <alignment vertical="center"/>
    </xf>
    <xf numFmtId="0" fontId="2" fillId="0" borderId="41" xfId="0" applyFont="1" applyBorder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40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 wrapText="1"/>
    </xf>
    <xf numFmtId="0" fontId="1" fillId="2" borderId="39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1" fillId="4" borderId="45" xfId="0" applyFont="1" applyFill="1" applyBorder="1"/>
    <xf numFmtId="0" fontId="1" fillId="4" borderId="46" xfId="0" applyFont="1" applyFill="1" applyBorder="1"/>
    <xf numFmtId="0" fontId="1" fillId="4" borderId="3" xfId="0" applyFont="1" applyFill="1" applyBorder="1"/>
    <xf numFmtId="0" fontId="1" fillId="4" borderId="4" xfId="0" applyFont="1" applyFill="1" applyBorder="1"/>
    <xf numFmtId="0" fontId="2" fillId="0" borderId="9" xfId="0" applyFont="1" applyBorder="1"/>
    <xf numFmtId="0" fontId="2" fillId="0" borderId="25" xfId="0" applyFont="1" applyBorder="1"/>
    <xf numFmtId="0" fontId="2" fillId="0" borderId="29" xfId="0" applyFont="1" applyBorder="1"/>
    <xf numFmtId="0" fontId="2" fillId="0" borderId="3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2819E-4302-478B-89F0-DA5E818BEB7B}">
  <dimension ref="A1:E40"/>
  <sheetViews>
    <sheetView topLeftCell="A34" workbookViewId="0">
      <selection activeCell="A41" sqref="A41:XFD69"/>
    </sheetView>
  </sheetViews>
  <sheetFormatPr defaultRowHeight="14.5" x14ac:dyDescent="0.35"/>
  <cols>
    <col min="1" max="1" width="7.1796875" bestFit="1" customWidth="1"/>
    <col min="2" max="2" width="27.54296875" bestFit="1" customWidth="1"/>
    <col min="3" max="3" width="43.1796875" bestFit="1" customWidth="1"/>
    <col min="4" max="4" width="54.26953125" bestFit="1" customWidth="1"/>
    <col min="5" max="5" width="47.7265625" bestFit="1" customWidth="1"/>
  </cols>
  <sheetData>
    <row r="1" spans="1:5" ht="15" thickBot="1" x14ac:dyDescent="0.4">
      <c r="A1" s="1" t="s">
        <v>0</v>
      </c>
      <c r="B1" s="2" t="s">
        <v>1</v>
      </c>
      <c r="C1" s="3" t="s">
        <v>50</v>
      </c>
      <c r="D1" s="4" t="s">
        <v>37</v>
      </c>
      <c r="E1" s="12" t="s">
        <v>3</v>
      </c>
    </row>
    <row r="2" spans="1:5" x14ac:dyDescent="0.35">
      <c r="A2" s="5">
        <v>200071</v>
      </c>
      <c r="B2" s="6" t="s">
        <v>4</v>
      </c>
      <c r="C2" s="6" t="s">
        <v>12</v>
      </c>
      <c r="D2" s="66" t="s">
        <v>13</v>
      </c>
      <c r="E2" s="68" t="s">
        <v>8</v>
      </c>
    </row>
    <row r="3" spans="1:5" x14ac:dyDescent="0.35">
      <c r="A3" s="7">
        <v>200325</v>
      </c>
      <c r="B3" s="8" t="s">
        <v>5</v>
      </c>
      <c r="C3" s="8" t="s">
        <v>14</v>
      </c>
      <c r="D3" s="67"/>
      <c r="E3" s="69"/>
    </row>
    <row r="4" spans="1:5" x14ac:dyDescent="0.35">
      <c r="A4" s="7">
        <v>200417</v>
      </c>
      <c r="B4" s="8" t="s">
        <v>6</v>
      </c>
      <c r="C4" s="8" t="s">
        <v>15</v>
      </c>
      <c r="D4" s="67"/>
      <c r="E4" s="69"/>
    </row>
    <row r="5" spans="1:5" x14ac:dyDescent="0.35">
      <c r="A5" s="7">
        <v>200210</v>
      </c>
      <c r="B5" s="8" t="s">
        <v>7</v>
      </c>
      <c r="C5" s="8" t="s">
        <v>16</v>
      </c>
      <c r="D5" s="67"/>
      <c r="E5" s="69"/>
    </row>
    <row r="6" spans="1:5" x14ac:dyDescent="0.35">
      <c r="A6" s="7">
        <v>200588</v>
      </c>
      <c r="B6" s="8" t="s">
        <v>11</v>
      </c>
      <c r="C6" s="9" t="s">
        <v>17</v>
      </c>
      <c r="D6" s="67"/>
      <c r="E6" s="69"/>
    </row>
    <row r="7" spans="1:5" x14ac:dyDescent="0.35">
      <c r="A7" s="7">
        <v>200411</v>
      </c>
      <c r="B7" s="8" t="s">
        <v>9</v>
      </c>
      <c r="C7" s="8" t="s">
        <v>18</v>
      </c>
      <c r="D7" s="67"/>
      <c r="E7" s="69"/>
    </row>
    <row r="8" spans="1:5" ht="15" thickBot="1" x14ac:dyDescent="0.4">
      <c r="A8" s="10">
        <v>200128</v>
      </c>
      <c r="B8" s="11" t="s">
        <v>10</v>
      </c>
      <c r="C8" s="11" t="s">
        <v>36</v>
      </c>
      <c r="D8" s="67"/>
      <c r="E8" s="69"/>
    </row>
    <row r="9" spans="1:5" ht="15" thickBot="1" x14ac:dyDescent="0.4">
      <c r="A9" s="1" t="s">
        <v>0</v>
      </c>
      <c r="B9" s="2" t="s">
        <v>1</v>
      </c>
      <c r="C9" s="3" t="s">
        <v>51</v>
      </c>
      <c r="D9" s="4" t="s">
        <v>37</v>
      </c>
      <c r="E9" s="12" t="s">
        <v>3</v>
      </c>
    </row>
    <row r="10" spans="1:5" x14ac:dyDescent="0.35">
      <c r="A10" s="5">
        <v>200071</v>
      </c>
      <c r="B10" s="6" t="s">
        <v>4</v>
      </c>
      <c r="C10" s="6" t="s">
        <v>19</v>
      </c>
      <c r="D10" s="66" t="s">
        <v>8</v>
      </c>
      <c r="E10" s="68" t="s">
        <v>20</v>
      </c>
    </row>
    <row r="11" spans="1:5" x14ac:dyDescent="0.35">
      <c r="A11" s="7">
        <v>200325</v>
      </c>
      <c r="B11" s="8" t="s">
        <v>5</v>
      </c>
      <c r="C11" s="8"/>
      <c r="D11" s="67"/>
      <c r="E11" s="69"/>
    </row>
    <row r="12" spans="1:5" x14ac:dyDescent="0.35">
      <c r="A12" s="7">
        <v>200417</v>
      </c>
      <c r="B12" s="8" t="s">
        <v>6</v>
      </c>
      <c r="C12" s="8" t="s">
        <v>21</v>
      </c>
      <c r="D12" s="67"/>
      <c r="E12" s="69"/>
    </row>
    <row r="13" spans="1:5" x14ac:dyDescent="0.35">
      <c r="A13" s="7">
        <v>200210</v>
      </c>
      <c r="B13" s="8" t="s">
        <v>7</v>
      </c>
      <c r="C13" s="8" t="s">
        <v>22</v>
      </c>
      <c r="D13" s="67"/>
      <c r="E13" s="69"/>
    </row>
    <row r="14" spans="1:5" x14ac:dyDescent="0.35">
      <c r="A14" s="7">
        <v>200588</v>
      </c>
      <c r="B14" s="8" t="s">
        <v>11</v>
      </c>
      <c r="C14" s="9" t="s">
        <v>23</v>
      </c>
      <c r="D14" s="67"/>
      <c r="E14" s="69"/>
    </row>
    <row r="15" spans="1:5" x14ac:dyDescent="0.35">
      <c r="A15" s="7">
        <v>200411</v>
      </c>
      <c r="B15" s="8" t="s">
        <v>9</v>
      </c>
      <c r="C15" s="8" t="s">
        <v>24</v>
      </c>
      <c r="D15" s="67"/>
      <c r="E15" s="69"/>
    </row>
    <row r="16" spans="1:5" ht="15" thickBot="1" x14ac:dyDescent="0.4">
      <c r="A16" s="10">
        <v>200128</v>
      </c>
      <c r="B16" s="11" t="s">
        <v>10</v>
      </c>
      <c r="C16" s="11"/>
      <c r="D16" s="67"/>
      <c r="E16" s="69"/>
    </row>
    <row r="17" spans="1:5" ht="15" thickBot="1" x14ac:dyDescent="0.4">
      <c r="A17" s="1" t="s">
        <v>0</v>
      </c>
      <c r="B17" s="2" t="s">
        <v>1</v>
      </c>
      <c r="C17" s="3" t="s">
        <v>52</v>
      </c>
      <c r="D17" s="4" t="s">
        <v>37</v>
      </c>
      <c r="E17" s="12" t="s">
        <v>3</v>
      </c>
    </row>
    <row r="18" spans="1:5" x14ac:dyDescent="0.35">
      <c r="A18" s="5">
        <v>200071</v>
      </c>
      <c r="B18" s="6" t="s">
        <v>4</v>
      </c>
      <c r="C18" s="6"/>
      <c r="D18" s="66" t="s">
        <v>25</v>
      </c>
      <c r="E18" s="68" t="s">
        <v>26</v>
      </c>
    </row>
    <row r="19" spans="1:5" x14ac:dyDescent="0.35">
      <c r="A19" s="7">
        <v>200325</v>
      </c>
      <c r="B19" s="8" t="s">
        <v>5</v>
      </c>
      <c r="C19" s="8"/>
      <c r="D19" s="67"/>
      <c r="E19" s="69"/>
    </row>
    <row r="20" spans="1:5" x14ac:dyDescent="0.35">
      <c r="A20" s="7">
        <v>200417</v>
      </c>
      <c r="B20" s="8" t="s">
        <v>6</v>
      </c>
      <c r="C20" s="8"/>
      <c r="D20" s="67"/>
      <c r="E20" s="69"/>
    </row>
    <row r="21" spans="1:5" x14ac:dyDescent="0.35">
      <c r="A21" s="7">
        <v>200210</v>
      </c>
      <c r="B21" s="8" t="s">
        <v>7</v>
      </c>
      <c r="C21" s="8"/>
      <c r="D21" s="67"/>
      <c r="E21" s="69"/>
    </row>
    <row r="22" spans="1:5" x14ac:dyDescent="0.35">
      <c r="A22" s="7">
        <v>200588</v>
      </c>
      <c r="B22" s="8" t="s">
        <v>11</v>
      </c>
      <c r="C22" s="9"/>
      <c r="D22" s="67"/>
      <c r="E22" s="69"/>
    </row>
    <row r="23" spans="1:5" x14ac:dyDescent="0.35">
      <c r="A23" s="7">
        <v>200411</v>
      </c>
      <c r="B23" s="8" t="s">
        <v>9</v>
      </c>
      <c r="C23" s="8"/>
      <c r="D23" s="67"/>
      <c r="E23" s="69"/>
    </row>
    <row r="24" spans="1:5" ht="15" thickBot="1" x14ac:dyDescent="0.4">
      <c r="A24" s="10">
        <v>200128</v>
      </c>
      <c r="B24" s="11" t="s">
        <v>10</v>
      </c>
      <c r="C24" s="11"/>
      <c r="D24" s="67"/>
      <c r="E24" s="69"/>
    </row>
    <row r="25" spans="1:5" ht="15" thickBot="1" x14ac:dyDescent="0.4">
      <c r="A25" s="1" t="s">
        <v>0</v>
      </c>
      <c r="B25" s="2" t="s">
        <v>1</v>
      </c>
      <c r="C25" s="3" t="s">
        <v>53</v>
      </c>
      <c r="D25" s="4" t="s">
        <v>38</v>
      </c>
      <c r="E25" s="12" t="s">
        <v>3</v>
      </c>
    </row>
    <row r="26" spans="1:5" x14ac:dyDescent="0.35">
      <c r="A26" s="5">
        <v>200071</v>
      </c>
      <c r="B26" s="6" t="s">
        <v>4</v>
      </c>
      <c r="C26" s="6" t="s">
        <v>39</v>
      </c>
      <c r="D26" s="66"/>
      <c r="E26" s="68"/>
    </row>
    <row r="27" spans="1:5" x14ac:dyDescent="0.35">
      <c r="A27" s="7">
        <v>200325</v>
      </c>
      <c r="B27" s="8" t="s">
        <v>5</v>
      </c>
      <c r="C27" s="8" t="s">
        <v>8</v>
      </c>
      <c r="D27" s="67"/>
      <c r="E27" s="69"/>
    </row>
    <row r="28" spans="1:5" x14ac:dyDescent="0.35">
      <c r="A28" s="7">
        <v>200417</v>
      </c>
      <c r="B28" s="8" t="s">
        <v>6</v>
      </c>
      <c r="C28" s="8" t="s">
        <v>40</v>
      </c>
      <c r="D28" s="67"/>
      <c r="E28" s="69"/>
    </row>
    <row r="29" spans="1:5" x14ac:dyDescent="0.35">
      <c r="A29" s="7">
        <v>200210</v>
      </c>
      <c r="B29" s="8" t="s">
        <v>7</v>
      </c>
      <c r="C29" s="8" t="s">
        <v>41</v>
      </c>
      <c r="D29" s="67"/>
      <c r="E29" s="69"/>
    </row>
    <row r="30" spans="1:5" x14ac:dyDescent="0.35">
      <c r="A30" s="7">
        <v>200588</v>
      </c>
      <c r="B30" s="8" t="s">
        <v>11</v>
      </c>
      <c r="C30" s="9" t="s">
        <v>42</v>
      </c>
      <c r="D30" s="67"/>
      <c r="E30" s="69"/>
    </row>
    <row r="31" spans="1:5" x14ac:dyDescent="0.35">
      <c r="A31" s="7">
        <v>200411</v>
      </c>
      <c r="B31" s="8" t="s">
        <v>9</v>
      </c>
      <c r="C31" s="8" t="s">
        <v>8</v>
      </c>
      <c r="D31" s="67"/>
      <c r="E31" s="69"/>
    </row>
    <row r="32" spans="1:5" ht="15" thickBot="1" x14ac:dyDescent="0.4">
      <c r="A32" s="10">
        <v>200128</v>
      </c>
      <c r="B32" s="11" t="s">
        <v>10</v>
      </c>
      <c r="C32" s="11" t="s">
        <v>43</v>
      </c>
      <c r="D32" s="67"/>
      <c r="E32" s="69"/>
    </row>
    <row r="33" spans="1:5" ht="15" thickBot="1" x14ac:dyDescent="0.4">
      <c r="A33" s="1" t="s">
        <v>0</v>
      </c>
      <c r="B33" s="2" t="s">
        <v>1</v>
      </c>
      <c r="C33" s="3" t="s">
        <v>54</v>
      </c>
      <c r="D33" s="4" t="s">
        <v>38</v>
      </c>
      <c r="E33" s="12" t="s">
        <v>3</v>
      </c>
    </row>
    <row r="34" spans="1:5" x14ac:dyDescent="0.35">
      <c r="A34" s="5">
        <v>200071</v>
      </c>
      <c r="B34" s="6" t="s">
        <v>4</v>
      </c>
      <c r="C34" s="6" t="s">
        <v>44</v>
      </c>
      <c r="D34" s="66">
        <v>25</v>
      </c>
      <c r="E34" s="68"/>
    </row>
    <row r="35" spans="1:5" x14ac:dyDescent="0.35">
      <c r="A35" s="7">
        <v>200325</v>
      </c>
      <c r="B35" s="8" t="s">
        <v>5</v>
      </c>
      <c r="C35" s="8" t="s">
        <v>45</v>
      </c>
      <c r="D35" s="67"/>
      <c r="E35" s="69"/>
    </row>
    <row r="36" spans="1:5" x14ac:dyDescent="0.35">
      <c r="A36" s="7">
        <v>200417</v>
      </c>
      <c r="B36" s="8" t="s">
        <v>6</v>
      </c>
      <c r="C36" s="8" t="s">
        <v>46</v>
      </c>
      <c r="D36" s="67"/>
      <c r="E36" s="69"/>
    </row>
    <row r="37" spans="1:5" x14ac:dyDescent="0.35">
      <c r="A37" s="7">
        <v>200210</v>
      </c>
      <c r="B37" s="8" t="s">
        <v>7</v>
      </c>
      <c r="C37" s="8" t="s">
        <v>47</v>
      </c>
      <c r="D37" s="67"/>
      <c r="E37" s="69"/>
    </row>
    <row r="38" spans="1:5" x14ac:dyDescent="0.35">
      <c r="A38" s="7">
        <v>200588</v>
      </c>
      <c r="B38" s="8" t="s">
        <v>11</v>
      </c>
      <c r="C38" s="9" t="s">
        <v>48</v>
      </c>
      <c r="D38" s="67"/>
      <c r="E38" s="69"/>
    </row>
    <row r="39" spans="1:5" x14ac:dyDescent="0.35">
      <c r="A39" s="7">
        <v>200411</v>
      </c>
      <c r="B39" s="8" t="s">
        <v>9</v>
      </c>
      <c r="C39" s="8"/>
      <c r="D39" s="67"/>
      <c r="E39" s="69"/>
    </row>
    <row r="40" spans="1:5" ht="15" thickBot="1" x14ac:dyDescent="0.4">
      <c r="A40" s="10">
        <v>200128</v>
      </c>
      <c r="B40" s="11" t="s">
        <v>10</v>
      </c>
      <c r="C40" s="11" t="s">
        <v>49</v>
      </c>
      <c r="D40" s="67"/>
      <c r="E40" s="69"/>
    </row>
  </sheetData>
  <mergeCells count="10">
    <mergeCell ref="D2:D8"/>
    <mergeCell ref="E2:E8"/>
    <mergeCell ref="D10:D16"/>
    <mergeCell ref="E10:E16"/>
    <mergeCell ref="D34:D40"/>
    <mergeCell ref="E34:E40"/>
    <mergeCell ref="D26:D32"/>
    <mergeCell ref="E26:E32"/>
    <mergeCell ref="D18:D24"/>
    <mergeCell ref="E18:E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9100C-9140-4056-A663-F8AAB72C639C}">
  <dimension ref="A1:X40"/>
  <sheetViews>
    <sheetView topLeftCell="A3" workbookViewId="0">
      <selection activeCell="E10" sqref="E10:E12"/>
    </sheetView>
  </sheetViews>
  <sheetFormatPr defaultRowHeight="14.5" x14ac:dyDescent="0.35"/>
  <cols>
    <col min="1" max="1" width="6.81640625" bestFit="1" customWidth="1"/>
    <col min="2" max="2" width="26.26953125" bestFit="1" customWidth="1"/>
    <col min="3" max="3" width="45.81640625" bestFit="1" customWidth="1"/>
    <col min="4" max="4" width="8.26953125" bestFit="1" customWidth="1"/>
    <col min="5" max="5" width="12" bestFit="1" customWidth="1"/>
    <col min="6" max="6" width="8.26953125" customWidth="1"/>
    <col min="8" max="8" width="1.90625" bestFit="1" customWidth="1"/>
  </cols>
  <sheetData>
    <row r="1" spans="1:24" ht="15" thickBot="1" x14ac:dyDescent="0.4">
      <c r="A1" s="58" t="s">
        <v>55</v>
      </c>
      <c r="B1" s="59"/>
      <c r="C1" s="21">
        <v>46023</v>
      </c>
      <c r="D1" s="60" t="s">
        <v>70</v>
      </c>
      <c r="E1" s="60" t="s">
        <v>38</v>
      </c>
      <c r="F1" s="63" t="s">
        <v>3</v>
      </c>
      <c r="G1" s="60" t="s">
        <v>58</v>
      </c>
      <c r="H1" s="19"/>
      <c r="I1" s="19"/>
      <c r="J1" s="19"/>
    </row>
    <row r="2" spans="1:24" ht="15" thickBot="1" x14ac:dyDescent="0.4">
      <c r="A2" s="22" t="s">
        <v>0</v>
      </c>
      <c r="B2" s="23" t="s">
        <v>1</v>
      </c>
      <c r="C2" s="35" t="s">
        <v>2</v>
      </c>
      <c r="D2" s="61"/>
      <c r="E2" s="62"/>
      <c r="F2" s="64"/>
      <c r="G2" s="62"/>
      <c r="H2" s="19"/>
      <c r="I2" s="19"/>
      <c r="J2" s="19"/>
    </row>
    <row r="3" spans="1:24" x14ac:dyDescent="0.35">
      <c r="A3" s="24">
        <v>200071</v>
      </c>
      <c r="B3" s="25" t="s">
        <v>4</v>
      </c>
      <c r="C3" s="36">
        <v>12</v>
      </c>
      <c r="D3" s="39" t="s">
        <v>71</v>
      </c>
      <c r="E3" s="54" t="s">
        <v>56</v>
      </c>
      <c r="F3" s="54">
        <v>16</v>
      </c>
      <c r="G3" s="45" t="s">
        <v>59</v>
      </c>
      <c r="H3" s="19"/>
      <c r="I3" s="19"/>
      <c r="J3" s="19"/>
    </row>
    <row r="4" spans="1:24" x14ac:dyDescent="0.35">
      <c r="A4" s="7">
        <v>200325</v>
      </c>
      <c r="B4" s="8" t="s">
        <v>5</v>
      </c>
      <c r="C4" s="30" t="s">
        <v>60</v>
      </c>
      <c r="D4" s="34" t="s">
        <v>71</v>
      </c>
      <c r="E4" s="55"/>
      <c r="F4" s="55"/>
      <c r="G4" s="46" t="s">
        <v>59</v>
      </c>
      <c r="H4" s="19"/>
      <c r="I4" s="19"/>
      <c r="J4" s="19"/>
    </row>
    <row r="5" spans="1:24" x14ac:dyDescent="0.35">
      <c r="A5" s="7">
        <v>200417</v>
      </c>
      <c r="B5" s="8" t="s">
        <v>6</v>
      </c>
      <c r="C5" s="30" t="s">
        <v>61</v>
      </c>
      <c r="D5" s="34" t="s">
        <v>71</v>
      </c>
      <c r="E5" s="55"/>
      <c r="F5" s="55"/>
      <c r="G5" s="46" t="s">
        <v>62</v>
      </c>
      <c r="H5" s="19"/>
      <c r="I5" s="19"/>
      <c r="J5" s="19"/>
    </row>
    <row r="6" spans="1:24" x14ac:dyDescent="0.35">
      <c r="A6" s="7">
        <v>200210</v>
      </c>
      <c r="B6" s="8" t="s">
        <v>7</v>
      </c>
      <c r="C6" s="30">
        <v>2</v>
      </c>
      <c r="D6" s="34" t="s">
        <v>71</v>
      </c>
      <c r="E6" s="55"/>
      <c r="F6" s="55"/>
      <c r="G6" s="46" t="s">
        <v>59</v>
      </c>
      <c r="H6" s="19"/>
      <c r="I6" s="19"/>
      <c r="J6" s="19"/>
    </row>
    <row r="7" spans="1:24" x14ac:dyDescent="0.35">
      <c r="A7" s="7">
        <v>200588</v>
      </c>
      <c r="B7" s="8" t="s">
        <v>11</v>
      </c>
      <c r="C7" s="31" t="s">
        <v>63</v>
      </c>
      <c r="D7" s="34" t="s">
        <v>71</v>
      </c>
      <c r="E7" s="55"/>
      <c r="F7" s="55"/>
      <c r="G7" s="46" t="s">
        <v>62</v>
      </c>
      <c r="H7" s="19"/>
      <c r="I7" s="19"/>
      <c r="J7" s="19"/>
    </row>
    <row r="8" spans="1:24" x14ac:dyDescent="0.35">
      <c r="A8" s="7">
        <v>200411</v>
      </c>
      <c r="B8" s="8" t="s">
        <v>9</v>
      </c>
      <c r="C8" s="30" t="s">
        <v>63</v>
      </c>
      <c r="D8" s="34" t="s">
        <v>71</v>
      </c>
      <c r="E8" s="55"/>
      <c r="F8" s="55"/>
      <c r="G8" s="46" t="s">
        <v>62</v>
      </c>
      <c r="H8" s="19"/>
      <c r="I8" s="19"/>
      <c r="J8" s="19"/>
    </row>
    <row r="9" spans="1:24" x14ac:dyDescent="0.35">
      <c r="A9" s="26">
        <v>200128</v>
      </c>
      <c r="B9" s="27" t="s">
        <v>10</v>
      </c>
      <c r="C9" s="32">
        <v>30</v>
      </c>
      <c r="D9" s="37" t="s">
        <v>71</v>
      </c>
      <c r="E9" s="55"/>
      <c r="F9" s="55"/>
      <c r="G9" s="47" t="s">
        <v>59</v>
      </c>
      <c r="H9" s="19"/>
      <c r="I9" s="19"/>
      <c r="J9" s="19"/>
    </row>
    <row r="10" spans="1:24" x14ac:dyDescent="0.35">
      <c r="A10" s="33">
        <v>999999</v>
      </c>
      <c r="B10" s="33" t="s">
        <v>73</v>
      </c>
      <c r="C10" s="44">
        <v>21</v>
      </c>
      <c r="D10" s="34" t="s">
        <v>72</v>
      </c>
      <c r="E10" s="56">
        <v>19</v>
      </c>
      <c r="F10" s="56"/>
      <c r="G10" s="49" t="s">
        <v>66</v>
      </c>
      <c r="H10" s="19"/>
      <c r="I10" s="19"/>
      <c r="J10" s="19"/>
    </row>
    <row r="11" spans="1:24" x14ac:dyDescent="0.35">
      <c r="A11" s="33">
        <v>999998</v>
      </c>
      <c r="B11" s="33" t="s">
        <v>74</v>
      </c>
      <c r="C11" s="38">
        <v>22</v>
      </c>
      <c r="D11" s="34" t="s">
        <v>72</v>
      </c>
      <c r="E11" s="55"/>
      <c r="F11" s="55"/>
      <c r="G11" s="50" t="s">
        <v>66</v>
      </c>
      <c r="H11" s="19"/>
      <c r="I11" s="19"/>
      <c r="J11" s="19"/>
    </row>
    <row r="12" spans="1:24" ht="15" thickBot="1" x14ac:dyDescent="0.4">
      <c r="A12" s="40">
        <v>999997</v>
      </c>
      <c r="B12" s="41" t="s">
        <v>75</v>
      </c>
      <c r="C12" s="44">
        <v>23</v>
      </c>
      <c r="D12" s="43" t="s">
        <v>72</v>
      </c>
      <c r="E12" s="57"/>
      <c r="F12" s="57"/>
      <c r="G12" s="48" t="s">
        <v>66</v>
      </c>
      <c r="H12" s="19"/>
      <c r="I12" s="19"/>
      <c r="J12" s="19"/>
    </row>
    <row r="13" spans="1:24" x14ac:dyDescent="0.35">
      <c r="A13" s="19"/>
      <c r="B13" s="19"/>
      <c r="C13" s="19"/>
      <c r="D13" s="19"/>
      <c r="E13" s="19"/>
      <c r="F13" s="20"/>
      <c r="G13" s="19"/>
      <c r="H13" s="19"/>
      <c r="I13" s="19"/>
      <c r="J13" s="19"/>
    </row>
    <row r="14" spans="1:24" ht="15" thickBot="1" x14ac:dyDescent="0.4">
      <c r="H14" s="19"/>
      <c r="I14" s="19"/>
      <c r="J14" s="19"/>
    </row>
    <row r="15" spans="1:24" ht="15" thickBot="1" x14ac:dyDescent="0.4">
      <c r="A15" s="58" t="s">
        <v>55</v>
      </c>
      <c r="B15" s="59"/>
      <c r="C15" s="28" t="s">
        <v>64</v>
      </c>
      <c r="D15" s="60" t="s">
        <v>70</v>
      </c>
      <c r="E15" s="60" t="s">
        <v>38</v>
      </c>
      <c r="F15" s="63" t="s">
        <v>3</v>
      </c>
      <c r="G15" s="60" t="s">
        <v>58</v>
      </c>
      <c r="H15" s="19"/>
      <c r="I15" s="19" t="s">
        <v>57</v>
      </c>
      <c r="J15" s="19"/>
    </row>
    <row r="16" spans="1:24" ht="15" thickBot="1" x14ac:dyDescent="0.4">
      <c r="A16" s="22" t="s">
        <v>0</v>
      </c>
      <c r="B16" s="23" t="s">
        <v>1</v>
      </c>
      <c r="C16" s="35" t="s">
        <v>2</v>
      </c>
      <c r="D16" s="61"/>
      <c r="E16" s="62"/>
      <c r="F16" s="64"/>
      <c r="G16" s="62"/>
      <c r="H16" s="19"/>
      <c r="I16" s="19"/>
      <c r="J16" s="19"/>
      <c r="R16" s="38"/>
      <c r="S16" s="38"/>
      <c r="T16" s="38"/>
      <c r="U16" s="38"/>
      <c r="V16" s="65"/>
      <c r="W16" s="65"/>
      <c r="X16" s="52"/>
    </row>
    <row r="17" spans="1:24" x14ac:dyDescent="0.35">
      <c r="A17" s="24">
        <v>200071</v>
      </c>
      <c r="B17" s="25" t="s">
        <v>4</v>
      </c>
      <c r="C17" s="29" t="s">
        <v>65</v>
      </c>
      <c r="D17" s="39" t="s">
        <v>71</v>
      </c>
      <c r="E17" s="54"/>
      <c r="F17" s="54"/>
      <c r="G17" s="45" t="s">
        <v>59</v>
      </c>
      <c r="H17" s="19"/>
      <c r="I17" s="19"/>
      <c r="J17" s="19"/>
      <c r="R17" s="38"/>
      <c r="S17" s="38"/>
      <c r="T17" s="38"/>
      <c r="U17" s="38"/>
      <c r="V17" s="65"/>
      <c r="W17" s="65"/>
      <c r="X17" s="52"/>
    </row>
    <row r="18" spans="1:24" x14ac:dyDescent="0.35">
      <c r="A18" s="7">
        <v>200325</v>
      </c>
      <c r="B18" s="8" t="s">
        <v>5</v>
      </c>
      <c r="C18" s="30" t="s">
        <v>67</v>
      </c>
      <c r="D18" s="34" t="s">
        <v>71</v>
      </c>
      <c r="E18" s="55"/>
      <c r="F18" s="55"/>
      <c r="G18" s="46" t="s">
        <v>59</v>
      </c>
      <c r="H18" s="19"/>
      <c r="I18" s="19"/>
      <c r="J18" s="19"/>
      <c r="R18" s="38"/>
      <c r="S18" s="38"/>
      <c r="T18" s="38"/>
      <c r="U18" s="38"/>
      <c r="V18" s="65"/>
      <c r="W18" s="65"/>
      <c r="X18" s="52"/>
    </row>
    <row r="19" spans="1:24" x14ac:dyDescent="0.35">
      <c r="A19" s="7">
        <v>200417</v>
      </c>
      <c r="B19" s="8" t="s">
        <v>6</v>
      </c>
      <c r="C19" s="30">
        <v>23</v>
      </c>
      <c r="D19" s="34" t="s">
        <v>71</v>
      </c>
      <c r="E19" s="55"/>
      <c r="F19" s="55"/>
      <c r="G19" s="46" t="s">
        <v>62</v>
      </c>
      <c r="H19" s="19"/>
      <c r="I19" s="19"/>
      <c r="J19" s="19"/>
      <c r="R19" s="38"/>
      <c r="S19" s="38"/>
      <c r="T19" s="38"/>
      <c r="U19" s="38"/>
      <c r="V19" s="65"/>
      <c r="W19" s="65"/>
      <c r="X19" s="52"/>
    </row>
    <row r="20" spans="1:24" x14ac:dyDescent="0.35">
      <c r="A20" s="7">
        <v>200210</v>
      </c>
      <c r="B20" s="8" t="s">
        <v>7</v>
      </c>
      <c r="C20" s="30" t="s">
        <v>68</v>
      </c>
      <c r="D20" s="34" t="s">
        <v>71</v>
      </c>
      <c r="E20" s="55"/>
      <c r="F20" s="55"/>
      <c r="G20" s="46" t="s">
        <v>59</v>
      </c>
      <c r="H20" s="19"/>
      <c r="I20" s="19"/>
      <c r="J20" s="19"/>
      <c r="R20" s="38"/>
      <c r="S20" s="38"/>
      <c r="T20" s="51"/>
      <c r="U20" s="38"/>
      <c r="V20" s="65"/>
      <c r="W20" s="65"/>
      <c r="X20" s="52"/>
    </row>
    <row r="21" spans="1:24" x14ac:dyDescent="0.35">
      <c r="A21" s="7">
        <v>200588</v>
      </c>
      <c r="B21" s="8" t="s">
        <v>11</v>
      </c>
      <c r="C21" s="31"/>
      <c r="D21" s="34" t="s">
        <v>71</v>
      </c>
      <c r="E21" s="55"/>
      <c r="F21" s="55"/>
      <c r="G21" s="46" t="s">
        <v>62</v>
      </c>
      <c r="H21" s="19"/>
      <c r="I21" s="19"/>
      <c r="J21" s="19"/>
      <c r="R21" s="38"/>
      <c r="S21" s="38"/>
      <c r="T21" s="38"/>
      <c r="U21" s="38"/>
      <c r="V21" s="65"/>
      <c r="W21" s="65"/>
      <c r="X21" s="52"/>
    </row>
    <row r="22" spans="1:24" x14ac:dyDescent="0.35">
      <c r="A22" s="7">
        <v>200411</v>
      </c>
      <c r="B22" s="8" t="s">
        <v>9</v>
      </c>
      <c r="C22" s="30"/>
      <c r="D22" s="34" t="s">
        <v>71</v>
      </c>
      <c r="E22" s="55"/>
      <c r="F22" s="55"/>
      <c r="G22" s="46" t="s">
        <v>62</v>
      </c>
      <c r="H22" s="19"/>
      <c r="I22" s="19"/>
      <c r="J22" s="19"/>
      <c r="R22" s="38"/>
      <c r="S22" s="38"/>
      <c r="T22" s="38"/>
      <c r="U22" s="38"/>
      <c r="V22" s="65"/>
      <c r="W22" s="65"/>
      <c r="X22" s="52"/>
    </row>
    <row r="23" spans="1:24" x14ac:dyDescent="0.35">
      <c r="A23" s="26">
        <v>200128</v>
      </c>
      <c r="B23" s="27" t="s">
        <v>10</v>
      </c>
      <c r="C23" s="32"/>
      <c r="D23" s="37" t="s">
        <v>71</v>
      </c>
      <c r="E23" s="55"/>
      <c r="F23" s="55"/>
      <c r="G23" s="47" t="s">
        <v>59</v>
      </c>
      <c r="H23" s="19"/>
      <c r="I23" s="19"/>
      <c r="J23" s="19"/>
      <c r="R23" s="38"/>
      <c r="S23" s="38"/>
      <c r="T23" s="38"/>
      <c r="U23" s="38"/>
      <c r="V23" s="53"/>
      <c r="W23" s="53"/>
      <c r="X23" s="52"/>
    </row>
    <row r="24" spans="1:24" x14ac:dyDescent="0.35">
      <c r="A24" s="33">
        <v>999999</v>
      </c>
      <c r="B24" s="33" t="s">
        <v>73</v>
      </c>
      <c r="C24" s="44">
        <v>2</v>
      </c>
      <c r="D24" s="34" t="s">
        <v>72</v>
      </c>
      <c r="E24" s="56">
        <v>12</v>
      </c>
      <c r="F24" s="56"/>
      <c r="G24" s="49" t="s">
        <v>66</v>
      </c>
      <c r="H24" s="19"/>
      <c r="I24" s="19"/>
      <c r="J24" s="19"/>
      <c r="R24" s="19"/>
      <c r="S24" s="19"/>
      <c r="T24" s="38"/>
      <c r="U24" s="38"/>
      <c r="V24" s="51"/>
      <c r="W24" s="51"/>
      <c r="X24" s="52"/>
    </row>
    <row r="25" spans="1:24" x14ac:dyDescent="0.35">
      <c r="A25" s="33">
        <v>999998</v>
      </c>
      <c r="B25" s="33" t="s">
        <v>74</v>
      </c>
      <c r="C25" s="44">
        <v>16</v>
      </c>
      <c r="D25" s="34" t="s">
        <v>72</v>
      </c>
      <c r="E25" s="55"/>
      <c r="F25" s="55"/>
      <c r="G25" s="50" t="s">
        <v>66</v>
      </c>
      <c r="H25" s="19"/>
      <c r="I25" s="19"/>
      <c r="J25" s="19"/>
      <c r="R25" s="19"/>
      <c r="S25" s="19"/>
      <c r="T25" s="19"/>
      <c r="U25" s="19"/>
      <c r="V25" s="19"/>
      <c r="W25" s="20"/>
      <c r="X25" s="19"/>
    </row>
    <row r="26" spans="1:24" ht="15" thickBot="1" x14ac:dyDescent="0.4">
      <c r="A26" s="40">
        <v>999997</v>
      </c>
      <c r="B26" s="41" t="s">
        <v>75</v>
      </c>
      <c r="C26" s="42">
        <v>4</v>
      </c>
      <c r="D26" s="43" t="s">
        <v>72</v>
      </c>
      <c r="E26" s="57"/>
      <c r="F26" s="57"/>
      <c r="G26" s="48" t="s">
        <v>66</v>
      </c>
      <c r="H26" s="19"/>
      <c r="I26" s="19"/>
      <c r="J26" s="19"/>
    </row>
    <row r="27" spans="1:24" x14ac:dyDescent="0.35">
      <c r="H27" s="19"/>
      <c r="I27" s="19" t="s">
        <v>57</v>
      </c>
      <c r="J27" s="19"/>
    </row>
    <row r="28" spans="1:24" ht="15" thickBot="1" x14ac:dyDescent="0.4">
      <c r="H28" s="19"/>
      <c r="I28" s="19"/>
      <c r="J28" s="19"/>
      <c r="R28" s="38"/>
      <c r="S28" s="38"/>
      <c r="T28" s="38"/>
      <c r="U28" s="38"/>
      <c r="V28" s="65"/>
      <c r="W28" s="65"/>
      <c r="X28" s="52"/>
    </row>
    <row r="29" spans="1:24" ht="15" thickBot="1" x14ac:dyDescent="0.4">
      <c r="A29" s="58" t="s">
        <v>55</v>
      </c>
      <c r="B29" s="59"/>
      <c r="C29" s="28" t="s">
        <v>69</v>
      </c>
      <c r="D29" s="60" t="s">
        <v>70</v>
      </c>
      <c r="E29" s="60" t="s">
        <v>38</v>
      </c>
      <c r="F29" s="63" t="s">
        <v>3</v>
      </c>
      <c r="G29" s="60" t="s">
        <v>58</v>
      </c>
      <c r="H29" s="19"/>
      <c r="I29" s="19"/>
      <c r="J29" s="19"/>
      <c r="R29" s="38"/>
      <c r="S29" s="38"/>
      <c r="T29" s="38"/>
      <c r="U29" s="38"/>
      <c r="V29" s="65"/>
      <c r="W29" s="65"/>
      <c r="X29" s="52"/>
    </row>
    <row r="30" spans="1:24" ht="15" thickBot="1" x14ac:dyDescent="0.4">
      <c r="A30" s="22" t="s">
        <v>0</v>
      </c>
      <c r="B30" s="23" t="s">
        <v>1</v>
      </c>
      <c r="C30" s="35" t="s">
        <v>2</v>
      </c>
      <c r="D30" s="61"/>
      <c r="E30" s="62"/>
      <c r="F30" s="64"/>
      <c r="G30" s="62"/>
      <c r="H30" s="19"/>
      <c r="I30" s="19"/>
      <c r="J30" s="19"/>
      <c r="R30" s="38"/>
      <c r="S30" s="38"/>
      <c r="T30" s="38"/>
      <c r="U30" s="38"/>
      <c r="V30" s="65"/>
      <c r="W30" s="65"/>
      <c r="X30" s="52"/>
    </row>
    <row r="31" spans="1:24" x14ac:dyDescent="0.35">
      <c r="A31" s="24">
        <v>200071</v>
      </c>
      <c r="B31" s="25" t="s">
        <v>4</v>
      </c>
      <c r="C31" s="36"/>
      <c r="D31" s="39" t="s">
        <v>71</v>
      </c>
      <c r="E31" s="54"/>
      <c r="F31" s="54"/>
      <c r="G31" s="45" t="s">
        <v>59</v>
      </c>
      <c r="H31" s="19"/>
      <c r="I31" s="19"/>
      <c r="J31" s="19"/>
      <c r="R31" s="38"/>
      <c r="S31" s="38"/>
      <c r="T31" s="38"/>
      <c r="U31" s="38"/>
      <c r="V31" s="65"/>
      <c r="W31" s="65"/>
      <c r="X31" s="52"/>
    </row>
    <row r="32" spans="1:24" x14ac:dyDescent="0.35">
      <c r="A32" s="7">
        <v>200325</v>
      </c>
      <c r="B32" s="8" t="s">
        <v>5</v>
      </c>
      <c r="C32" s="30"/>
      <c r="D32" s="34" t="s">
        <v>71</v>
      </c>
      <c r="E32" s="55"/>
      <c r="F32" s="55"/>
      <c r="G32" s="46" t="s">
        <v>59</v>
      </c>
      <c r="H32" s="19"/>
      <c r="I32" s="19"/>
      <c r="J32" s="19"/>
      <c r="R32" s="38"/>
      <c r="S32" s="38"/>
      <c r="T32" s="51"/>
      <c r="U32" s="38"/>
      <c r="V32" s="65"/>
      <c r="W32" s="65"/>
      <c r="X32" s="52"/>
    </row>
    <row r="33" spans="1:24" x14ac:dyDescent="0.35">
      <c r="A33" s="7">
        <v>200417</v>
      </c>
      <c r="B33" s="8" t="s">
        <v>6</v>
      </c>
      <c r="C33" s="30"/>
      <c r="D33" s="34" t="s">
        <v>71</v>
      </c>
      <c r="E33" s="55"/>
      <c r="F33" s="55"/>
      <c r="G33" s="46" t="s">
        <v>62</v>
      </c>
      <c r="H33" s="19"/>
      <c r="I33" s="19"/>
      <c r="J33" s="19"/>
      <c r="R33" s="38"/>
      <c r="S33" s="38"/>
      <c r="T33" s="38"/>
      <c r="U33" s="38"/>
      <c r="V33" s="65"/>
      <c r="W33" s="65"/>
      <c r="X33" s="52"/>
    </row>
    <row r="34" spans="1:24" x14ac:dyDescent="0.35">
      <c r="A34" s="7">
        <v>200210</v>
      </c>
      <c r="B34" s="8" t="s">
        <v>7</v>
      </c>
      <c r="C34" s="30"/>
      <c r="D34" s="34" t="s">
        <v>71</v>
      </c>
      <c r="E34" s="55"/>
      <c r="F34" s="55"/>
      <c r="G34" s="46" t="s">
        <v>59</v>
      </c>
      <c r="H34" s="19"/>
      <c r="I34" s="19"/>
      <c r="J34" s="19"/>
      <c r="R34" s="38"/>
      <c r="S34" s="38"/>
      <c r="T34" s="38"/>
      <c r="U34" s="38"/>
      <c r="V34" s="65"/>
      <c r="W34" s="65"/>
      <c r="X34" s="52"/>
    </row>
    <row r="35" spans="1:24" x14ac:dyDescent="0.35">
      <c r="A35" s="7">
        <v>200588</v>
      </c>
      <c r="B35" s="8" t="s">
        <v>11</v>
      </c>
      <c r="C35" s="31"/>
      <c r="D35" s="34" t="s">
        <v>71</v>
      </c>
      <c r="E35" s="55"/>
      <c r="F35" s="55"/>
      <c r="G35" s="46" t="s">
        <v>62</v>
      </c>
      <c r="H35" s="19"/>
      <c r="I35" s="19"/>
      <c r="J35" s="19"/>
      <c r="R35" s="38"/>
      <c r="S35" s="38"/>
      <c r="T35" s="38"/>
      <c r="U35" s="38"/>
      <c r="V35" s="53"/>
      <c r="W35" s="53"/>
      <c r="X35" s="52"/>
    </row>
    <row r="36" spans="1:24" x14ac:dyDescent="0.35">
      <c r="A36" s="7">
        <v>200411</v>
      </c>
      <c r="B36" s="8" t="s">
        <v>9</v>
      </c>
      <c r="C36" s="30"/>
      <c r="D36" s="34" t="s">
        <v>71</v>
      </c>
      <c r="E36" s="55"/>
      <c r="F36" s="55"/>
      <c r="G36" s="46" t="s">
        <v>62</v>
      </c>
      <c r="H36" s="19"/>
      <c r="I36" s="19"/>
      <c r="J36" s="19"/>
    </row>
    <row r="37" spans="1:24" x14ac:dyDescent="0.35">
      <c r="A37" s="26">
        <v>200128</v>
      </c>
      <c r="B37" s="27" t="s">
        <v>10</v>
      </c>
      <c r="C37" s="32"/>
      <c r="D37" s="37" t="s">
        <v>71</v>
      </c>
      <c r="E37" s="55"/>
      <c r="F37" s="55"/>
      <c r="G37" s="47" t="s">
        <v>59</v>
      </c>
      <c r="H37" s="19"/>
      <c r="I37" s="19"/>
      <c r="J37" s="19"/>
    </row>
    <row r="38" spans="1:24" x14ac:dyDescent="0.35">
      <c r="A38" s="33">
        <v>999999</v>
      </c>
      <c r="B38" s="33" t="s">
        <v>73</v>
      </c>
      <c r="C38" s="44"/>
      <c r="D38" s="34" t="s">
        <v>72</v>
      </c>
      <c r="E38" s="56"/>
      <c r="F38" s="56"/>
      <c r="G38" s="49" t="s">
        <v>66</v>
      </c>
    </row>
    <row r="39" spans="1:24" x14ac:dyDescent="0.35">
      <c r="A39" s="33">
        <v>999998</v>
      </c>
      <c r="B39" s="33" t="s">
        <v>74</v>
      </c>
      <c r="C39" s="44"/>
      <c r="D39" s="34" t="s">
        <v>72</v>
      </c>
      <c r="E39" s="55"/>
      <c r="F39" s="55"/>
      <c r="G39" s="50" t="s">
        <v>66</v>
      </c>
    </row>
    <row r="40" spans="1:24" ht="15" thickBot="1" x14ac:dyDescent="0.4">
      <c r="A40" s="40">
        <v>999997</v>
      </c>
      <c r="B40" s="41" t="s">
        <v>75</v>
      </c>
      <c r="C40" s="42"/>
      <c r="D40" s="43" t="s">
        <v>72</v>
      </c>
      <c r="E40" s="57"/>
      <c r="F40" s="57"/>
      <c r="G40" s="48" t="s">
        <v>66</v>
      </c>
    </row>
  </sheetData>
  <mergeCells count="31">
    <mergeCell ref="V28:V34"/>
    <mergeCell ref="W28:W34"/>
    <mergeCell ref="G1:G2"/>
    <mergeCell ref="A1:B1"/>
    <mergeCell ref="E3:E9"/>
    <mergeCell ref="F3:F9"/>
    <mergeCell ref="W16:W22"/>
    <mergeCell ref="D1:D2"/>
    <mergeCell ref="E1:E2"/>
    <mergeCell ref="F1:F2"/>
    <mergeCell ref="V16:V22"/>
    <mergeCell ref="G29:G30"/>
    <mergeCell ref="E10:E12"/>
    <mergeCell ref="F10:F12"/>
    <mergeCell ref="A15:B15"/>
    <mergeCell ref="D15:D16"/>
    <mergeCell ref="E15:E16"/>
    <mergeCell ref="F15:F16"/>
    <mergeCell ref="G15:G16"/>
    <mergeCell ref="E17:E23"/>
    <mergeCell ref="F17:F23"/>
    <mergeCell ref="E24:E26"/>
    <mergeCell ref="F24:F26"/>
    <mergeCell ref="E31:E37"/>
    <mergeCell ref="F31:F37"/>
    <mergeCell ref="E38:E40"/>
    <mergeCell ref="F38:F40"/>
    <mergeCell ref="A29:B29"/>
    <mergeCell ref="D29:D30"/>
    <mergeCell ref="E29:E30"/>
    <mergeCell ref="F29:F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BEBB4-DE48-43F0-8951-5742E8A75DD2}">
  <dimension ref="A1:F8"/>
  <sheetViews>
    <sheetView tabSelected="1" workbookViewId="0">
      <selection activeCell="H13" sqref="H13"/>
    </sheetView>
  </sheetViews>
  <sheetFormatPr defaultRowHeight="14.5" x14ac:dyDescent="0.35"/>
  <sheetData>
    <row r="1" spans="1:6" x14ac:dyDescent="0.35">
      <c r="A1" s="70" t="s">
        <v>76</v>
      </c>
      <c r="B1" s="71" t="s">
        <v>77</v>
      </c>
      <c r="C1" s="72" t="s">
        <v>78</v>
      </c>
      <c r="D1" s="72" t="s">
        <v>79</v>
      </c>
      <c r="E1" s="72" t="s">
        <v>80</v>
      </c>
      <c r="F1" s="73" t="s">
        <v>81</v>
      </c>
    </row>
    <row r="2" spans="1:6" x14ac:dyDescent="0.35">
      <c r="A2" s="74">
        <v>2026</v>
      </c>
      <c r="B2" s="74" t="s">
        <v>82</v>
      </c>
      <c r="C2" s="74" t="s">
        <v>83</v>
      </c>
      <c r="D2" s="74" t="s">
        <v>84</v>
      </c>
      <c r="E2" s="74" t="s">
        <v>85</v>
      </c>
      <c r="F2" s="74" t="s">
        <v>86</v>
      </c>
    </row>
    <row r="3" spans="1:6" x14ac:dyDescent="0.35">
      <c r="A3" s="74">
        <v>2026</v>
      </c>
      <c r="B3" s="74" t="s">
        <v>87</v>
      </c>
      <c r="C3" s="74" t="s">
        <v>88</v>
      </c>
      <c r="D3" s="74" t="s">
        <v>89</v>
      </c>
      <c r="E3" s="74" t="s">
        <v>90</v>
      </c>
      <c r="F3" s="74" t="s">
        <v>4</v>
      </c>
    </row>
    <row r="4" spans="1:6" x14ac:dyDescent="0.35">
      <c r="A4" s="74">
        <v>2026</v>
      </c>
      <c r="B4" s="74" t="s">
        <v>87</v>
      </c>
      <c r="C4" s="74" t="s">
        <v>91</v>
      </c>
      <c r="D4" s="74" t="s">
        <v>92</v>
      </c>
      <c r="E4" s="74" t="s">
        <v>93</v>
      </c>
      <c r="F4" s="74" t="s">
        <v>6</v>
      </c>
    </row>
    <row r="5" spans="1:6" x14ac:dyDescent="0.35">
      <c r="A5" s="74">
        <v>2026</v>
      </c>
      <c r="B5" s="74" t="s">
        <v>64</v>
      </c>
      <c r="C5" s="74" t="s">
        <v>94</v>
      </c>
      <c r="D5" s="74" t="s">
        <v>95</v>
      </c>
      <c r="E5" s="74" t="s">
        <v>96</v>
      </c>
      <c r="F5" s="74" t="s">
        <v>85</v>
      </c>
    </row>
    <row r="6" spans="1:6" x14ac:dyDescent="0.35">
      <c r="A6" s="74">
        <v>2026</v>
      </c>
      <c r="B6" s="74" t="s">
        <v>64</v>
      </c>
      <c r="C6" s="74" t="s">
        <v>97</v>
      </c>
      <c r="D6" s="74" t="s">
        <v>98</v>
      </c>
      <c r="E6" s="74" t="s">
        <v>6</v>
      </c>
      <c r="F6" s="74" t="s">
        <v>90</v>
      </c>
    </row>
    <row r="7" spans="1:6" x14ac:dyDescent="0.35">
      <c r="A7" s="74">
        <v>2026</v>
      </c>
      <c r="B7" s="74" t="s">
        <v>99</v>
      </c>
      <c r="C7" s="74" t="s">
        <v>94</v>
      </c>
      <c r="D7" s="74" t="s">
        <v>95</v>
      </c>
      <c r="E7" s="75" t="s">
        <v>4</v>
      </c>
      <c r="F7" s="75" t="s">
        <v>93</v>
      </c>
    </row>
    <row r="8" spans="1:6" x14ac:dyDescent="0.35">
      <c r="A8" s="74">
        <v>2026</v>
      </c>
      <c r="B8" s="74" t="s">
        <v>99</v>
      </c>
      <c r="C8" s="74" t="s">
        <v>97</v>
      </c>
      <c r="D8" s="76" t="s">
        <v>100</v>
      </c>
      <c r="E8" s="77" t="s">
        <v>5</v>
      </c>
      <c r="F8" s="77" t="s">
        <v>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B7374-D989-4DD5-AC49-9284A5F281FD}">
  <dimension ref="A1:D33"/>
  <sheetViews>
    <sheetView workbookViewId="0">
      <selection activeCell="A33" sqref="A33"/>
    </sheetView>
  </sheetViews>
  <sheetFormatPr defaultRowHeight="14.5" x14ac:dyDescent="0.35"/>
  <cols>
    <col min="1" max="1" width="69.453125" bestFit="1" customWidth="1"/>
    <col min="2" max="2" width="27" bestFit="1" customWidth="1"/>
    <col min="3" max="3" width="42.1796875" bestFit="1" customWidth="1"/>
    <col min="4" max="4" width="7.7265625" bestFit="1" customWidth="1"/>
  </cols>
  <sheetData>
    <row r="1" spans="1:4" x14ac:dyDescent="0.35">
      <c r="A1" t="str">
        <f ca="1">"Finance Systems - " &amp; TEXT(TODAY(),"MMMM YYYY") &amp; " Capacity Update"</f>
        <v>Finance Systems - February 2026 Capacity Update</v>
      </c>
    </row>
    <row r="2" spans="1:4" x14ac:dyDescent="0.35">
      <c r="A2" t="str">
        <f>"Sprint Capacity Summary for Finance Systems Team"</f>
        <v>Sprint Capacity Summary for Finance Systems Team</v>
      </c>
    </row>
    <row r="3" spans="1:4" x14ac:dyDescent="0.35">
      <c r="A3" s="18" t="str">
        <f ca="1">"Generated on: " &amp; TEXT(TODAY(),"dd-mmm-yyyy")</f>
        <v>Generated on: 05-Feb-2026</v>
      </c>
    </row>
    <row r="6" spans="1:4" x14ac:dyDescent="0.35">
      <c r="A6" s="18" t="str">
        <f>"Total Team Members: 7"</f>
        <v>Total Team Members: 7</v>
      </c>
    </row>
    <row r="7" spans="1:4" x14ac:dyDescent="0.35">
      <c r="A7" s="18" t="str">
        <f>"Active Team Members Available: " &amp; (7 - COUNTIF(Monthly!C1:C7,"*"))</f>
        <v>Active Team Members Available: 0</v>
      </c>
    </row>
    <row r="9" spans="1:4" x14ac:dyDescent="0.35">
      <c r="A9" s="18" t="str">
        <f ca="1">"=== " &amp; UPPER(TEXT(TODAY(),"MMMM")) &amp; " CAPACITY BREAKDOWN ==="</f>
        <v>=== FEBRUARY CAPACITY BREAKDOWN ===</v>
      </c>
    </row>
    <row r="11" spans="1:4" x14ac:dyDescent="0.35">
      <c r="A11" t="str">
        <f>"Employee ID | Employee Name | Planned Leave | Holiday | Optional Holiday"</f>
        <v>Employee ID | Employee Name | Planned Leave | Holiday | Optional Holiday</v>
      </c>
    </row>
    <row r="12" spans="1:4" x14ac:dyDescent="0.35">
      <c r="A12" t="str">
        <f>"------------|---------------|---------------|---------|------------------"</f>
        <v>------------|---------------|---------------|---------|------------------</v>
      </c>
    </row>
    <row r="13" spans="1:4" x14ac:dyDescent="0.35">
      <c r="A13" s="18" t="str">
        <f>Monthly!A1</f>
        <v>Emp Id</v>
      </c>
      <c r="B13" s="18" t="str">
        <f>Monthly!B1</f>
        <v>Emp Name</v>
      </c>
      <c r="C13" s="18" t="str">
        <f>Monthly!C1</f>
        <v>2025 August Planned Leave</v>
      </c>
      <c r="D13" s="18" t="str">
        <f>Monthly!D1</f>
        <v>Public Holiday</v>
      </c>
    </row>
    <row r="14" spans="1:4" x14ac:dyDescent="0.35">
      <c r="A14" s="18">
        <f>Monthly!A2</f>
        <v>200071</v>
      </c>
      <c r="B14" s="18" t="str">
        <f>Monthly!B2</f>
        <v>BindhuMadhuri Maddela</v>
      </c>
      <c r="C14" s="18" t="str">
        <f>Monthly!C2</f>
        <v xml:space="preserve">1st &amp; 4th </v>
      </c>
      <c r="D14" s="18" t="str">
        <f>Monthly!D2</f>
        <v>15th(Independence day) &amp;  27th (Vinayaka Chavithi)</v>
      </c>
    </row>
    <row r="15" spans="1:4" x14ac:dyDescent="0.35">
      <c r="A15" s="18">
        <f>Monthly!A3</f>
        <v>200325</v>
      </c>
      <c r="B15" s="18" t="str">
        <f>Monthly!B3</f>
        <v>Suganya Chandrasekaran</v>
      </c>
      <c r="C15" s="18" t="str">
        <f>Monthly!C3</f>
        <v>28th &amp; 29th (tentative)</v>
      </c>
      <c r="D15" s="18">
        <f>Monthly!D3</f>
        <v>0</v>
      </c>
    </row>
    <row r="16" spans="1:4" x14ac:dyDescent="0.35">
      <c r="A16" s="18">
        <f>Monthly!A4</f>
        <v>200417</v>
      </c>
      <c r="B16" s="18" t="str">
        <f>Monthly!B4</f>
        <v>Dhivya Dharmaraj</v>
      </c>
      <c r="C16" s="18" t="str">
        <f>Monthly!C4</f>
        <v>18th(Comp off)</v>
      </c>
      <c r="D16" s="18">
        <f>Monthly!D4</f>
        <v>0</v>
      </c>
    </row>
    <row r="17" spans="1:4" x14ac:dyDescent="0.35">
      <c r="A17" s="18">
        <f>Monthly!A5</f>
        <v>200210</v>
      </c>
      <c r="B17" s="18" t="str">
        <f>Monthly!B5</f>
        <v>Murugan, Lakshmipathy</v>
      </c>
      <c r="C17" s="18" t="str">
        <f>Monthly!C5</f>
        <v xml:space="preserve">12th (Comp off), 14th, 28th (Tentative) </v>
      </c>
      <c r="D17" s="18">
        <f>Monthly!D5</f>
        <v>0</v>
      </c>
    </row>
    <row r="18" spans="1:4" x14ac:dyDescent="0.35">
      <c r="A18" s="18">
        <f>Monthly!A6</f>
        <v>200588</v>
      </c>
      <c r="B18" s="18" t="str">
        <f>Monthly!B6</f>
        <v>Sampanthamoorthy, Sivaguru</v>
      </c>
      <c r="C18" s="18" t="str">
        <f>Monthly!C6</f>
        <v>1st, 18th August</v>
      </c>
      <c r="D18" s="18">
        <f>Monthly!D6</f>
        <v>0</v>
      </c>
    </row>
    <row r="19" spans="1:4" x14ac:dyDescent="0.35">
      <c r="A19" s="18">
        <f>Monthly!A7</f>
        <v>200411</v>
      </c>
      <c r="B19" s="18" t="str">
        <f>Monthly!B7</f>
        <v>Murugan Pavithra</v>
      </c>
      <c r="C19" s="18" t="str">
        <f>Monthly!C7</f>
        <v xml:space="preserve">22 Second off </v>
      </c>
      <c r="D19" s="18">
        <f>Monthly!D7</f>
        <v>0</v>
      </c>
    </row>
    <row r="20" spans="1:4" x14ac:dyDescent="0.35">
      <c r="A20" s="18">
        <f>Monthly!A8</f>
        <v>200128</v>
      </c>
      <c r="B20" s="18" t="str">
        <f>Monthly!B8</f>
        <v>Syed Sufdar Hussain</v>
      </c>
      <c r="C20" s="18" t="str">
        <f>Monthly!C8</f>
        <v>14th August</v>
      </c>
      <c r="D20" s="18">
        <f>Monthly!D8</f>
        <v>0</v>
      </c>
    </row>
    <row r="25" spans="1:4" x14ac:dyDescent="0.35">
      <c r="A25" s="18" t="str">
        <f>"QUICK SUMMARY FOR EMAIL:"</f>
        <v>QUICK SUMMARY FOR EMAIL:</v>
      </c>
    </row>
    <row r="26" spans="1:4" x14ac:dyDescent="0.35">
      <c r="A26" t="str">
        <f>"========================"</f>
        <v>========================</v>
      </c>
    </row>
    <row r="28" spans="1:4" x14ac:dyDescent="0.35">
      <c r="A28" t="str">
        <f>"Hi Jason,"</f>
        <v>Hi Jason,</v>
      </c>
    </row>
    <row r="29" spans="1:4" x14ac:dyDescent="0.35">
      <c r="A29" t="str">
        <f>""</f>
        <v/>
      </c>
    </row>
    <row r="30" spans="1:4" x14ac:dyDescent="0.35">
      <c r="A30" t="str">
        <f ca="1">"Here's the Finance Systems team capacity update for " &amp; TEXT(TODAY(),"MMMM yyyy") &amp; ":"</f>
        <v>Here's the Finance Systems team capacity update for February 2026:</v>
      </c>
    </row>
    <row r="31" spans="1:4" x14ac:dyDescent="0.35">
      <c r="A31" t="str">
        <f>""</f>
        <v/>
      </c>
    </row>
    <row r="32" spans="1:4" x14ac:dyDescent="0.35">
      <c r="A32" t="str">
        <f>"Team Size: 7 members"</f>
        <v>Team Size: 7 members</v>
      </c>
    </row>
    <row r="33" spans="1:1" x14ac:dyDescent="0.35">
      <c r="A33" t="e" cm="1">
        <f t="array" aca="1" ref="A33" ca="1">"Members with Planned Leave: " &amp; COUNTIF(Monthly("'"&amp;TEXT(TODAY(),"Monthly")&amp;"'!C:C"),"&lt;&gt;")</f>
        <v>#NAME?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D4321-EB4F-4C10-8231-A78EFC2600F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250E6-F962-435C-94C8-A2747F0C92AC}">
  <dimension ref="A1:C8"/>
  <sheetViews>
    <sheetView workbookViewId="0">
      <selection activeCell="E3" sqref="E3"/>
    </sheetView>
  </sheetViews>
  <sheetFormatPr defaultRowHeight="14.5" x14ac:dyDescent="0.35"/>
  <cols>
    <col min="1" max="1" width="70.54296875" customWidth="1"/>
    <col min="2" max="2" width="41.453125" customWidth="1"/>
    <col min="3" max="3" width="15.1796875" bestFit="1" customWidth="1"/>
  </cols>
  <sheetData>
    <row r="1" spans="1:3" ht="15" thickBot="1" x14ac:dyDescent="0.4">
      <c r="A1" s="13" t="s">
        <v>27</v>
      </c>
      <c r="B1" s="14" t="s">
        <v>28</v>
      </c>
      <c r="C1" s="14" t="s">
        <v>2</v>
      </c>
    </row>
    <row r="2" spans="1:3" ht="17" thickBot="1" x14ac:dyDescent="0.4">
      <c r="A2" s="15" t="s">
        <v>10</v>
      </c>
      <c r="B2" s="16" t="s">
        <v>29</v>
      </c>
      <c r="C2" s="16" t="s">
        <v>30</v>
      </c>
    </row>
    <row r="3" spans="1:3" ht="17" thickBot="1" x14ac:dyDescent="0.4">
      <c r="A3" s="15" t="s">
        <v>7</v>
      </c>
      <c r="B3" s="16" t="s">
        <v>29</v>
      </c>
      <c r="C3" s="16" t="s">
        <v>30</v>
      </c>
    </row>
    <row r="4" spans="1:3" ht="17" thickBot="1" x14ac:dyDescent="0.4">
      <c r="A4" s="15" t="s">
        <v>31</v>
      </c>
      <c r="B4" s="16" t="s">
        <v>29</v>
      </c>
      <c r="C4" s="16" t="s">
        <v>8</v>
      </c>
    </row>
    <row r="5" spans="1:3" ht="17" thickBot="1" x14ac:dyDescent="0.4">
      <c r="A5" s="15" t="s">
        <v>32</v>
      </c>
      <c r="B5" s="16" t="s">
        <v>29</v>
      </c>
      <c r="C5" s="16" t="s">
        <v>8</v>
      </c>
    </row>
    <row r="6" spans="1:3" ht="17" thickBot="1" x14ac:dyDescent="0.4">
      <c r="A6" s="15" t="s">
        <v>33</v>
      </c>
      <c r="B6" s="16" t="s">
        <v>29</v>
      </c>
      <c r="C6" s="16" t="s">
        <v>8</v>
      </c>
    </row>
    <row r="7" spans="1:3" ht="17" thickBot="1" x14ac:dyDescent="0.4">
      <c r="A7" s="15" t="s">
        <v>34</v>
      </c>
      <c r="B7" s="16" t="s">
        <v>29</v>
      </c>
      <c r="C7" s="16" t="s">
        <v>35</v>
      </c>
    </row>
    <row r="8" spans="1:3" ht="17" thickBot="1" x14ac:dyDescent="0.4">
      <c r="A8" s="15" t="s">
        <v>11</v>
      </c>
      <c r="B8" s="17" t="s">
        <v>29</v>
      </c>
      <c r="C8" s="16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Monthly</vt:lpstr>
      <vt:lpstr>2026</vt:lpstr>
      <vt:lpstr>On Call Schedules</vt:lpstr>
      <vt:lpstr>Email Summary</vt:lpstr>
      <vt:lpstr>Sheet3</vt:lpstr>
      <vt:lpstr>Email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Latheef, Syed Sufdar Hussain</dc:creator>
  <cp:lastModifiedBy>Syed Latheef, Syed Sufdar Hussain</cp:lastModifiedBy>
  <dcterms:created xsi:type="dcterms:W3CDTF">2025-08-11T08:28:41Z</dcterms:created>
  <dcterms:modified xsi:type="dcterms:W3CDTF">2026-02-05T14:40:30Z</dcterms:modified>
</cp:coreProperties>
</file>